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F2EF058-1DBD-46F4-B274-97BEC5A2FDE3}" xr6:coauthVersionLast="47" xr6:coauthVersionMax="47" xr10:uidLastSave="{00000000-0000-0000-0000-000000000000}"/>
  <bookViews>
    <workbookView xWindow="-120" yWindow="-120" windowWidth="20730" windowHeight="11160" activeTab="2" xr2:uid="{4DF84300-3E31-484D-9FF0-C4308869EBFF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3" l="1"/>
  <c r="J6" i="3"/>
  <c r="J5" i="3"/>
  <c r="J4" i="3"/>
  <c r="H3" i="2"/>
  <c r="I3" i="2"/>
  <c r="G3" i="2"/>
  <c r="F3" i="2"/>
  <c r="E3" i="2"/>
  <c r="D3" i="2"/>
  <c r="C3" i="2"/>
  <c r="B3" i="2"/>
  <c r="A3" i="2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<sst xmlns="http://schemas.openxmlformats.org/spreadsheetml/2006/main" count="247" uniqueCount="157">
  <si>
    <t>RateTable</t>
  </si>
  <si>
    <t>Name</t>
  </si>
  <si>
    <t>Rating</t>
  </si>
  <si>
    <t>Numerical Score</t>
  </si>
  <si>
    <t>Excellent</t>
  </si>
  <si>
    <t>Babbitt, George</t>
  </si>
  <si>
    <t>Fair</t>
  </si>
  <si>
    <t>Very Good</t>
  </si>
  <si>
    <t>Checker, Charles</t>
  </si>
  <si>
    <t>Satisfactory</t>
  </si>
  <si>
    <t>Good</t>
  </si>
  <si>
    <t>Belli, Melvin</t>
  </si>
  <si>
    <t>Bench, John</t>
  </si>
  <si>
    <t>Bickle, Travis</t>
  </si>
  <si>
    <t>Poor</t>
  </si>
  <si>
    <t>Martinet, Jean</t>
  </si>
  <si>
    <t>Fail</t>
  </si>
  <si>
    <t>Cabot, Sebastian</t>
  </si>
  <si>
    <t>Custer, George</t>
  </si>
  <si>
    <t>Chauvin, Nicolas</t>
  </si>
  <si>
    <t>Bates, Norman</t>
  </si>
  <si>
    <t>Björling, Jussi</t>
  </si>
  <si>
    <t>Claypool, Ida</t>
  </si>
  <si>
    <t>Gallegos, Rick</t>
  </si>
  <si>
    <t>Morse, Michael</t>
  </si>
  <si>
    <t>Hackenbush, Hugo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</si>
  <si>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</si>
  <si>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</si>
  <si>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</si>
  <si>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</si>
  <si>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</si>
  <si>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</si>
  <si>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</si>
  <si>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</si>
  <si>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</si>
  <si>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</si>
  <si>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</si>
  <si>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</si>
  <si>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</si>
  <si>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</si>
  <si>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</si>
  <si>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</si>
  <si>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</si>
  <si>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</si>
  <si>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</si>
  <si>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</si>
  <si>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</si>
  <si>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</si>
  <si>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</si>
  <si>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</si>
  <si>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</si>
  <si>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</si>
  <si>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</si>
  <si>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Castro, Christopher</t>
  </si>
  <si>
    <t>Pierce, Karen</t>
  </si>
  <si>
    <t>Small, Athanasios</t>
  </si>
  <si>
    <t>Logan, Karen</t>
  </si>
  <si>
    <t>Tate, Zachary</t>
  </si>
  <si>
    <t>$E2=$I&amp;1</t>
  </si>
  <si>
    <t>1. USING CONDITIONAL FORMATTING HIGHLIGHT ROWS THAT HAS FAIR IN A RED COLOUR USING THE ABOVE FORMULA "$E2=$I&amp;1"</t>
  </si>
  <si>
    <t>2. FIND THE NUMERICAL SCORE COLUMN.</t>
  </si>
  <si>
    <t>EMPLOYEE LOOKUP</t>
  </si>
  <si>
    <t>EMPID</t>
  </si>
  <si>
    <t>LAST NAME</t>
  </si>
  <si>
    <t>FIRST NAME</t>
  </si>
  <si>
    <t>DEPT.</t>
  </si>
  <si>
    <t>E-MAIL</t>
  </si>
  <si>
    <t>PHONE EXT</t>
  </si>
  <si>
    <t>LOCATION</t>
  </si>
  <si>
    <t>HIRE DATE</t>
  </si>
  <si>
    <t>PAY RATE</t>
  </si>
  <si>
    <t>EMPLOYEE INFORMATION MASTER LIST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</si>
  <si>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</si>
  <si>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</si>
  <si>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</si>
  <si>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</si>
  <si>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</si>
  <si>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</si>
  <si>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</si>
  <si>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</si>
  <si>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building 2</t>
  </si>
  <si>
    <t>SCOTE</t>
  </si>
  <si>
    <t>GAIL</t>
  </si>
  <si>
    <t>HT</t>
  </si>
  <si>
    <t>gails</t>
  </si>
  <si>
    <t>building 3</t>
  </si>
  <si>
    <t>KANE</t>
  </si>
  <si>
    <t>SHERAL</t>
  </si>
  <si>
    <t>ASD</t>
  </si>
  <si>
    <t>sheralk</t>
  </si>
  <si>
    <t>HAPSBUCH</t>
  </si>
  <si>
    <t>KENDRICK</t>
  </si>
  <si>
    <t>AC</t>
  </si>
  <si>
    <t>kendrickh</t>
  </si>
  <si>
    <t>HANDEL</t>
  </si>
  <si>
    <t>STONE</t>
  </si>
  <si>
    <t>AD</t>
  </si>
  <si>
    <t>stoneh</t>
  </si>
  <si>
    <t>DANIEL</t>
  </si>
  <si>
    <t>OSCA</t>
  </si>
  <si>
    <t>oscah</t>
  </si>
  <si>
    <t>NOTE: USING THE VLOOKUP FUNCTION</t>
  </si>
  <si>
    <t>FIND A RANDOM EMPLOYEE ID USING A FUNCTION, THEN FIND THE REST OF THE CORESPONDING WHICH IS THE LAST NAME, FIRST NAME,DEPT., E-MAIL, PHONE EXT, LOCATION, HIRE DATE AND THE PAY RATE.</t>
  </si>
  <si>
    <t>Name of Student</t>
  </si>
  <si>
    <t>Mathematics</t>
  </si>
  <si>
    <t>Science</t>
  </si>
  <si>
    <t>English</t>
  </si>
  <si>
    <t>Music</t>
  </si>
  <si>
    <t>Smith, Paul</t>
  </si>
  <si>
    <t>Young, Jane</t>
  </si>
  <si>
    <t>White, Bob</t>
  </si>
  <si>
    <t>Miller, Fred</t>
  </si>
  <si>
    <t>Doe, Carl</t>
  </si>
  <si>
    <t>Bob, Jung</t>
  </si>
  <si>
    <t>Wood, Spark</t>
  </si>
  <si>
    <t>Careen, Green</t>
  </si>
  <si>
    <t>Sandy, James</t>
  </si>
  <si>
    <t>Parrey, Dang</t>
  </si>
  <si>
    <t>Fred, Tang</t>
  </si>
  <si>
    <t>Trem, Sung</t>
  </si>
  <si>
    <t>Sam, Jay</t>
  </si>
  <si>
    <t>Lolly, Pop</t>
  </si>
  <si>
    <t>Vera, Slim</t>
  </si>
  <si>
    <t>Mama, Jing</t>
  </si>
  <si>
    <t>Ola, Dan</t>
  </si>
  <si>
    <t>Ope, Yem</t>
  </si>
  <si>
    <t>Funmi, Dan</t>
  </si>
  <si>
    <t xml:space="preserve">NAME </t>
  </si>
  <si>
    <t>MATHS</t>
  </si>
  <si>
    <t>SCIENCE</t>
  </si>
  <si>
    <t>ENGLISH</t>
  </si>
  <si>
    <t>MUSIC</t>
  </si>
  <si>
    <t>NOTE: TRANSPOSE THIS DATASET AND THEN FIND THE FOLLOWING USING HLOOKUP.</t>
  </si>
  <si>
    <t>NOTE: USE VLOOKUP TO DETERMINE THE COMMISSION %, THEN CALCULATE COMMISSION VALUE WITH VLOOKUP APPROXIMATE MATCH OPTION</t>
  </si>
  <si>
    <t>NAME</t>
  </si>
  <si>
    <t xml:space="preserve">SALES </t>
  </si>
  <si>
    <t>COMMISSION %</t>
  </si>
  <si>
    <t>COMMISSION2</t>
  </si>
  <si>
    <t>COMMISSION VALUE</t>
  </si>
  <si>
    <t>ADE</t>
  </si>
  <si>
    <t>CHUNG</t>
  </si>
  <si>
    <t>CRAWFORD</t>
  </si>
  <si>
    <t>JOLLY</t>
  </si>
  <si>
    <t>KING</t>
  </si>
  <si>
    <t>RICHARDS</t>
  </si>
  <si>
    <t>TONADE</t>
  </si>
  <si>
    <t>ALLEN</t>
  </si>
  <si>
    <t>OPE</t>
  </si>
  <si>
    <t>TOPE</t>
  </si>
  <si>
    <t>TADE</t>
  </si>
  <si>
    <t>TOSIN</t>
  </si>
  <si>
    <t>OPEOLU</t>
  </si>
  <si>
    <t>DAYO</t>
  </si>
  <si>
    <t>SULE</t>
  </si>
  <si>
    <t>VINCENT</t>
  </si>
  <si>
    <t>PAUL</t>
  </si>
  <si>
    <t>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</si>
</sst>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-[$$-409]* #,##0.00_ ;_-[$$-409]* \-#,##0.00\ ;_-[$$-409]* &quot;-&quot;??_ ;_-@_ "/>
    <numFmt numFmtId="166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5" fillId="0" borderId="0"/>
  </cellStyleXfs>
  <cellXfs count="38">
    <xf numFmtId="0" fontId="0" fillId="0" borderId="0" xfId="0"/>
    <xf numFmtId="0" fontId="4" fillId="0" borderId="0" xfId="2" applyFont="1"/>
    <xf numFmtId="0" fontId="4" fillId="3" borderId="3" xfId="2" applyFont="1" applyFill="1" applyBorder="1"/>
    <xf numFmtId="0" fontId="4" fillId="0" borderId="4" xfId="2" applyFont="1" applyBorder="1"/>
    <xf numFmtId="0" fontId="4" fillId="0" borderId="5" xfId="2" applyFont="1" applyBorder="1"/>
    <xf numFmtId="0" fontId="4" fillId="0" borderId="0" xfId="3" applyNumberFormat="1" applyFont="1" applyAlignment="1">
      <alignment horizontal="left"/>
    </xf>
    <xf numFmtId="0" fontId="4" fillId="0" borderId="6" xfId="2" applyFont="1" applyBorder="1"/>
    <xf numFmtId="0" fontId="4" fillId="0" borderId="7" xfId="2" applyFont="1" applyBorder="1"/>
    <xf numFmtId="0" fontId="4" fillId="0" borderId="0" xfId="2" applyFont="1" applyProtection="1">
      <protection locked="0"/>
    </xf>
    <xf numFmtId="15" fontId="0" fillId="0" borderId="0" xfId="0" applyNumberFormat="1"/>
    <xf numFmtId="165" fontId="0" fillId="0" borderId="0" xfId="0" applyNumberFormat="1"/>
    <xf numFmtId="0" fontId="7" fillId="3" borderId="0" xfId="2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8" fillId="0" borderId="8" xfId="0" applyFont="1" applyBorder="1"/>
    <xf numFmtId="0" fontId="9" fillId="5" borderId="8" xfId="0" applyFont="1" applyFill="1" applyBorder="1" applyAlignment="1">
      <alignment horizontal="center"/>
    </xf>
    <xf numFmtId="0" fontId="9" fillId="5" borderId="8" xfId="0" applyFont="1" applyFill="1" applyBorder="1"/>
    <xf numFmtId="9" fontId="9" fillId="0" borderId="8" xfId="1" applyFont="1" applyBorder="1" applyAlignment="1">
      <alignment horizontal="center"/>
    </xf>
    <xf numFmtId="0" fontId="0" fillId="0" borderId="0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2" fillId="6" borderId="9" xfId="0" applyFont="1" applyFill="1" applyBorder="1"/>
    <xf numFmtId="0" fontId="2" fillId="0" borderId="12" xfId="0" applyFont="1" applyBorder="1"/>
    <xf numFmtId="0" fontId="2" fillId="0" borderId="14" xfId="0" applyFont="1" applyBorder="1"/>
    <xf numFmtId="0" fontId="2" fillId="6" borderId="10" xfId="0" applyFont="1" applyFill="1" applyBorder="1"/>
    <xf numFmtId="0" fontId="2" fillId="6" borderId="11" xfId="0" applyFont="1" applyFill="1" applyBorder="1"/>
    <xf numFmtId="0" fontId="10" fillId="0" borderId="8" xfId="0" applyFont="1" applyBorder="1"/>
    <xf numFmtId="0" fontId="11" fillId="0" borderId="8" xfId="0" applyFont="1" applyBorder="1"/>
    <xf numFmtId="165" fontId="11" fillId="0" borderId="8" xfId="0" applyNumberFormat="1" applyFont="1" applyBorder="1"/>
    <xf numFmtId="9" fontId="11" fillId="0" borderId="8" xfId="1" applyFont="1" applyBorder="1"/>
    <xf numFmtId="166" fontId="11" fillId="0" borderId="8" xfId="1" applyNumberFormat="1" applyFont="1" applyBorder="1"/>
    <xf numFmtId="9" fontId="11" fillId="0" borderId="8" xfId="0" applyNumberFormat="1" applyFont="1" applyBorder="1"/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9" fontId="0" fillId="0" borderId="0" xfId="1" applyFont="1" applyBorder="1"/>
    <xf numFmtId="9" fontId="0" fillId="0" borderId="15" xfId="1" applyFont="1" applyBorder="1"/>
  </cellXfs>
  <cellStyles count="4">
    <cellStyle name="Normal" xfId="0" builtinId="0"/>
    <cellStyle name="Normal 2" xfId="2" xr:uid="{7BAD3E01-7202-414A-8D5D-65B611671267}"/>
    <cellStyle name="Normal_EMPLOYEE" xfId="3" xr:uid="{303184EA-9442-4E8A-BD3B-7753354C5B4A}"/>
    <cellStyle name="Percent" xfId="1" builtinId="5"/>
  </cellStyles>
  <dxfs count="9">
    <dxf>
      <numFmt numFmtId="0" formatCode="General"/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7F5C-AD47-435E-A8F4-C12936DB32A0}">
  <dimension ref="A1:I48"/>
  <sheetViews>
    <sheetView zoomScale="106" workbookViewId="0">
      <selection activeCell="I8" sqref="I8"/>
    </sheetView>
  </sheetViews>
  <sheetFormatPr defaultRowHeight="15" x14ac:dyDescent="0.25"/>
  <cols>
    <col min="1" max="1" width="12.28515625" style="1" customWidth="1"/>
    <col min="2" max="2" width="3.5703125" style="1" customWidth="1"/>
    <col min="3" max="3" width="3.85546875" style="1" customWidth="1"/>
    <col min="4" max="4" width="22.140625" style="1" customWidth="1"/>
    <col min="5" max="5" width="13.42578125" style="1" customWidth="1"/>
    <col min="6" max="6" width="18.5703125" style="1" customWidth="1"/>
    <col min="9" max="9" width="115.5703125" bestFit="1" customWidth="1"/>
  </cols>
  <sheetData>
    <row r="1" spans="1:9" x14ac:dyDescent="0.25">
      <c r="A1" s="33" t="s">
        <v>0</v>
      </c>
      <c r="B1" s="34"/>
      <c r="D1" s="2" t="s">
        <v>1</v>
      </c>
      <c r="E1" s="2" t="s">
        <v>2</v>
      </c>
      <c r="F1" s="2" t="s">
        <v>3</v>
      </c>
      <c r="I1" s="11" t="s">
        <v>101</v>
      </c>
    </row>
    <row r="2" spans="1:9" x14ac:dyDescent="0.25">
      <c r="A2" s="3" t="s">
        <v>4</v>
      </c>
      <c r="B2" s="4">
        <v>99</v>
      </c>
      <c r="D2" s="5" t="s">
        <v>5</v>
      </c>
      <c r="E2" s="1" t="s">
        <v>6</v>
      </c>
      <c r="F2" s="1">
        <f>VLOOKUP(E2,$A$1:$B$8,2,0)</f>
        <v>71</v>
      </c>
      <c r="I2" s="12"/>
    </row>
    <row r="3" spans="1:9" x14ac:dyDescent="0.25">
      <c r="A3" s="3" t="s">
        <v>7</v>
      </c>
      <c r="B3" s="4">
        <v>92</v>
      </c>
      <c r="D3" s="5" t="s">
        <v>8</v>
      </c>
      <c r="E3" s="1" t="s">
        <v>9</v>
      </c>
      <c r="F3" s="1">
        <f t="shared" ref="F3:F48" si="0">VLOOKUP(E3,$A$1:$B$8,2,0)</f>
        <v>78</v>
      </c>
      <c r="I3" s="12" t="s">
        <v>58</v>
      </c>
    </row>
    <row r="4" spans="1:9" ht="17.45" customHeight="1" x14ac:dyDescent="0.25">
      <c r="A4" s="3" t="s">
        <v>10</v>
      </c>
      <c r="B4" s="4">
        <v>85</v>
      </c>
      <c r="D4" s="5" t="s">
        <v>11</v>
      </c>
      <c r="E4" s="1" t="s">
        <v>9</v>
      </c>
      <c r="F4" s="1">
        <f t="shared" si="0"/>
        <v>78</v>
      </c>
      <c r="I4" s="13" t="s">
        <v>59</v>
      </c>
    </row>
    <row r="5" spans="1:9" x14ac:dyDescent="0.25">
      <c r="A5" s="3" t="s">
        <v>9</v>
      </c>
      <c r="B5" s="4">
        <v>78</v>
      </c>
      <c r="D5" s="5" t="s">
        <v>12</v>
      </c>
      <c r="E5" s="1" t="s">
        <v>10</v>
      </c>
      <c r="F5" s="1">
        <f t="shared" si="0"/>
        <v>85</v>
      </c>
      <c r="I5" s="12" t="s">
        <v>60</v>
      </c>
    </row>
    <row r="6" spans="1:9" x14ac:dyDescent="0.25">
      <c r="A6" s="3" t="s">
        <v>6</v>
      </c>
      <c r="B6" s="4">
        <v>71</v>
      </c>
      <c r="D6" s="5" t="s">
        <v>13</v>
      </c>
      <c r="E6" s="1" t="s">
        <v>14</v>
      </c>
      <c r="F6" s="1">
        <f t="shared" si="0"/>
        <v>65</v>
      </c>
    </row>
    <row r="7" spans="1:9" x14ac:dyDescent="0.25">
      <c r="A7" s="3" t="s">
        <v>14</v>
      </c>
      <c r="B7" s="4">
        <v>65</v>
      </c>
      <c r="D7" s="5" t="s">
        <v>15</v>
      </c>
      <c r="E7" s="1" t="s">
        <v>9</v>
      </c>
      <c r="F7" s="1">
        <f t="shared" si="0"/>
        <v>78</v>
      </c>
    </row>
    <row r="8" spans="1:9" ht="15.75" thickBot="1" x14ac:dyDescent="0.3">
      <c r="A8" s="6" t="s">
        <v>16</v>
      </c>
      <c r="B8" s="7">
        <v>50</v>
      </c>
      <c r="D8" s="5" t="s">
        <v>17</v>
      </c>
      <c r="E8" s="1" t="s">
        <v>7</v>
      </c>
      <c r="F8" s="1">
        <f t="shared" si="0"/>
        <v>92</v>
      </c>
    </row>
    <row r="9" spans="1:9" x14ac:dyDescent="0.25">
      <c r="D9" s="5" t="s">
        <v>18</v>
      </c>
      <c r="E9" s="1" t="s">
        <v>14</v>
      </c>
      <c r="F9" s="1">
        <f t="shared" si="0"/>
        <v>65</v>
      </c>
    </row>
    <row r="10" spans="1:9" x14ac:dyDescent="0.25">
      <c r="D10" s="5" t="s">
        <v>19</v>
      </c>
      <c r="E10" s="1" t="s">
        <v>7</v>
      </c>
      <c r="F10" s="1">
        <f t="shared" si="0"/>
        <v>92</v>
      </c>
    </row>
    <row r="11" spans="1:9" x14ac:dyDescent="0.25">
      <c r="D11" s="5" t="s">
        <v>20</v>
      </c>
      <c r="E11" s="1" t="s">
        <v>7</v>
      </c>
      <c r="F11" s="1">
        <f t="shared" si="0"/>
        <v>92</v>
      </c>
    </row>
    <row r="12" spans="1:9" x14ac:dyDescent="0.25">
      <c r="D12" s="5" t="s">
        <v>21</v>
      </c>
      <c r="E12" s="1" t="s">
        <v>4</v>
      </c>
      <c r="F12" s="1">
        <f t="shared" si="0"/>
        <v>99</v>
      </c>
    </row>
    <row r="13" spans="1:9" x14ac:dyDescent="0.25">
      <c r="D13" s="5" t="s">
        <v>22</v>
      </c>
      <c r="E13" s="1" t="s">
        <v>14</v>
      </c>
      <c r="F13" s="1">
        <f t="shared" si="0"/>
        <v>65</v>
      </c>
    </row>
    <row r="14" spans="1:9" x14ac:dyDescent="0.25">
      <c r="D14" s="8" t="s">
        <v>23</v>
      </c>
      <c r="E14" s="1" t="s">
        <v>9</v>
      </c>
      <c r="F14" s="1">
        <f t="shared" si="0"/>
        <v>78</v>
      </c>
    </row>
    <row r="15" spans="1:9" x14ac:dyDescent="0.25">
      <c r="D15" s="8" t="s">
        <v>24</v>
      </c>
      <c r="E15" s="1" t="s">
        <v>10</v>
      </c>
      <c r="F15" s="1">
        <f t="shared" si="0"/>
        <v>85</v>
      </c>
    </row>
    <row r="16" spans="1:9" x14ac:dyDescent="0.25">
      <c r="D16" s="8" t="s">
        <v>25</v>
      </c>
      <c r="E16" s="1" t="s">
        <v>6</v>
      </c>
      <c r="F16" s="1">
        <f t="shared" si="0"/>
        <v>71</v>
      </c>
    </row>
    <row r="17" spans="4:6" x14ac:dyDescent="0.25">
      <c r="D17" s="8" t="s">
        <v>26</v>
      </c>
      <c r="E17" s="1" t="s">
        <v>4</v>
      </c>
      <c r="F17" s="1">
        <f t="shared" si="0"/>
        <v>99</v>
      </c>
    </row>
    <row r="18" spans="4:6" x14ac:dyDescent="0.25">
      <c r="D18" s="8" t="s">
        <v>27</v>
      </c>
      <c r="E18" s="1" t="s">
        <v>16</v>
      </c>
      <c r="F18" s="1">
        <f t="shared" si="0"/>
        <v>50</v>
      </c>
    </row>
    <row r="19" spans="4:6" x14ac:dyDescent="0.25">
      <c r="D19" s="8" t="s">
        <v>28</v>
      </c>
      <c r="E19" s="1" t="s">
        <v>10</v>
      </c>
      <c r="F19" s="1">
        <f t="shared" si="0"/>
        <v>85</v>
      </c>
    </row>
    <row r="20" spans="4:6" x14ac:dyDescent="0.25">
      <c r="D20" s="8" t="s">
        <v>29</v>
      </c>
      <c r="E20" s="1" t="s">
        <v>4</v>
      </c>
      <c r="F20" s="1">
        <f t="shared" si="0"/>
        <v>99</v>
      </c>
    </row>
    <row r="21" spans="4:6" x14ac:dyDescent="0.25">
      <c r="D21" s="8" t="s">
        <v>30</v>
      </c>
      <c r="E21" s="1" t="s">
        <v>6</v>
      </c>
      <c r="F21" s="1">
        <f t="shared" si="0"/>
        <v>71</v>
      </c>
    </row>
    <row r="22" spans="4:6" x14ac:dyDescent="0.25">
      <c r="D22" s="8" t="s">
        <v>31</v>
      </c>
      <c r="E22" s="1" t="s">
        <v>14</v>
      </c>
      <c r="F22" s="1">
        <f t="shared" si="0"/>
        <v>65</v>
      </c>
    </row>
    <row r="23" spans="4:6" x14ac:dyDescent="0.25">
      <c r="D23" s="8" t="s">
        <v>32</v>
      </c>
      <c r="E23" s="1" t="s">
        <v>16</v>
      </c>
      <c r="F23" s="1">
        <f t="shared" si="0"/>
        <v>50</v>
      </c>
    </row>
    <row r="24" spans="4:6" x14ac:dyDescent="0.25">
      <c r="D24" s="8" t="s">
        <v>33</v>
      </c>
      <c r="E24" s="1" t="s">
        <v>10</v>
      </c>
      <c r="F24" s="1">
        <f t="shared" si="0"/>
        <v>85</v>
      </c>
    </row>
    <row r="25" spans="4:6" x14ac:dyDescent="0.25">
      <c r="D25" s="8" t="s">
        <v>34</v>
      </c>
      <c r="E25" s="1" t="s">
        <v>7</v>
      </c>
      <c r="F25" s="1">
        <f t="shared" si="0"/>
        <v>92</v>
      </c>
    </row>
    <row r="26" spans="4:6" x14ac:dyDescent="0.25">
      <c r="D26" s="8" t="s">
        <v>35</v>
      </c>
      <c r="E26" s="1" t="s">
        <v>9</v>
      </c>
      <c r="F26" s="1">
        <f t="shared" si="0"/>
        <v>78</v>
      </c>
    </row>
    <row r="27" spans="4:6" x14ac:dyDescent="0.25">
      <c r="D27" s="8" t="s">
        <v>36</v>
      </c>
      <c r="E27" s="1" t="s">
        <v>9</v>
      </c>
      <c r="F27" s="1">
        <f t="shared" si="0"/>
        <v>78</v>
      </c>
    </row>
    <row r="28" spans="4:6" x14ac:dyDescent="0.25">
      <c r="D28" s="8" t="s">
        <v>37</v>
      </c>
      <c r="E28" s="1" t="s">
        <v>6</v>
      </c>
      <c r="F28" s="1">
        <f t="shared" si="0"/>
        <v>71</v>
      </c>
    </row>
    <row r="29" spans="4:6" x14ac:dyDescent="0.25">
      <c r="D29" s="8" t="s">
        <v>38</v>
      </c>
      <c r="E29" s="1" t="s">
        <v>16</v>
      </c>
      <c r="F29" s="1">
        <f t="shared" si="0"/>
        <v>50</v>
      </c>
    </row>
    <row r="30" spans="4:6" x14ac:dyDescent="0.25">
      <c r="D30" s="8" t="s">
        <v>39</v>
      </c>
      <c r="E30" s="1" t="s">
        <v>16</v>
      </c>
      <c r="F30" s="1">
        <f t="shared" si="0"/>
        <v>50</v>
      </c>
    </row>
    <row r="31" spans="4:6" x14ac:dyDescent="0.25">
      <c r="D31" s="8" t="s">
        <v>40</v>
      </c>
      <c r="E31" s="1" t="s">
        <v>9</v>
      </c>
      <c r="F31" s="1">
        <f t="shared" si="0"/>
        <v>78</v>
      </c>
    </row>
    <row r="32" spans="4:6" x14ac:dyDescent="0.25">
      <c r="D32" s="8" t="s">
        <v>41</v>
      </c>
      <c r="E32" s="1" t="s">
        <v>7</v>
      </c>
      <c r="F32" s="1">
        <f t="shared" si="0"/>
        <v>92</v>
      </c>
    </row>
    <row r="33" spans="4:6" x14ac:dyDescent="0.25">
      <c r="D33" s="8" t="s">
        <v>42</v>
      </c>
      <c r="E33" s="1" t="s">
        <v>4</v>
      </c>
      <c r="F33" s="1">
        <f t="shared" si="0"/>
        <v>99</v>
      </c>
    </row>
    <row r="34" spans="4:6" x14ac:dyDescent="0.25">
      <c r="D34" s="8" t="s">
        <v>43</v>
      </c>
      <c r="E34" s="1" t="s">
        <v>7</v>
      </c>
      <c r="F34" s="1">
        <f t="shared" si="0"/>
        <v>92</v>
      </c>
    </row>
    <row r="35" spans="4:6" x14ac:dyDescent="0.25">
      <c r="D35" s="8" t="s">
        <v>44</v>
      </c>
      <c r="E35" s="1" t="s">
        <v>7</v>
      </c>
      <c r="F35" s="1">
        <f t="shared" si="0"/>
        <v>92</v>
      </c>
    </row>
    <row r="36" spans="4:6" x14ac:dyDescent="0.25">
      <c r="D36" s="8" t="s">
        <v>45</v>
      </c>
      <c r="E36" s="1" t="s">
        <v>10</v>
      </c>
      <c r="F36" s="1">
        <f t="shared" si="0"/>
        <v>85</v>
      </c>
    </row>
    <row r="37" spans="4:6" x14ac:dyDescent="0.25">
      <c r="D37" s="8" t="s">
        <v>46</v>
      </c>
      <c r="E37" s="1" t="s">
        <v>10</v>
      </c>
      <c r="F37" s="1">
        <f t="shared" si="0"/>
        <v>85</v>
      </c>
    </row>
    <row r="38" spans="4:6" x14ac:dyDescent="0.25">
      <c r="D38" s="8" t="s">
        <v>47</v>
      </c>
      <c r="E38" s="1" t="s">
        <v>6</v>
      </c>
      <c r="F38" s="1">
        <f t="shared" si="0"/>
        <v>71</v>
      </c>
    </row>
    <row r="39" spans="4:6" x14ac:dyDescent="0.25">
      <c r="D39" s="8" t="s">
        <v>48</v>
      </c>
      <c r="E39" s="1" t="s">
        <v>6</v>
      </c>
      <c r="F39" s="1">
        <f t="shared" si="0"/>
        <v>71</v>
      </c>
    </row>
    <row r="40" spans="4:6" x14ac:dyDescent="0.25">
      <c r="D40" s="8" t="s">
        <v>49</v>
      </c>
      <c r="E40" s="1" t="s">
        <v>10</v>
      </c>
      <c r="F40" s="1">
        <f t="shared" si="0"/>
        <v>85</v>
      </c>
    </row>
    <row r="41" spans="4:6" x14ac:dyDescent="0.25">
      <c r="D41" s="8" t="s">
        <v>50</v>
      </c>
      <c r="E41" s="1" t="s">
        <v>9</v>
      </c>
      <c r="F41" s="1">
        <f t="shared" si="0"/>
        <v>78</v>
      </c>
    </row>
    <row r="42" spans="4:6" x14ac:dyDescent="0.25">
      <c r="D42" s="8" t="s">
        <v>51</v>
      </c>
      <c r="E42" s="1" t="s">
        <v>16</v>
      </c>
      <c r="F42" s="1">
        <f t="shared" si="0"/>
        <v>50</v>
      </c>
    </row>
    <row r="43" spans="4:6" x14ac:dyDescent="0.25">
      <c r="D43" s="8" t="s">
        <v>52</v>
      </c>
      <c r="E43" s="1" t="s">
        <v>16</v>
      </c>
      <c r="F43" s="1">
        <f t="shared" si="0"/>
        <v>50</v>
      </c>
    </row>
    <row r="44" spans="4:6" x14ac:dyDescent="0.25">
      <c r="D44" s="8" t="s">
        <v>53</v>
      </c>
      <c r="E44" s="1" t="s">
        <v>7</v>
      </c>
      <c r="F44" s="1">
        <f t="shared" si="0"/>
        <v>92</v>
      </c>
    </row>
    <row r="45" spans="4:6" x14ac:dyDescent="0.25">
      <c r="D45" s="8" t="s">
        <v>54</v>
      </c>
      <c r="E45" s="1" t="s">
        <v>14</v>
      </c>
      <c r="F45" s="1">
        <f t="shared" si="0"/>
        <v>65</v>
      </c>
    </row>
    <row r="46" spans="4:6" x14ac:dyDescent="0.25">
      <c r="D46" s="8" t="s">
        <v>55</v>
      </c>
      <c r="E46" s="1" t="s">
        <v>9</v>
      </c>
      <c r="F46" s="1">
        <f t="shared" si="0"/>
        <v>78</v>
      </c>
    </row>
    <row r="47" spans="4:6" x14ac:dyDescent="0.25">
      <c r="D47" s="8" t="s">
        <v>56</v>
      </c>
      <c r="E47" s="1" t="s">
        <v>9</v>
      </c>
      <c r="F47" s="1">
        <f t="shared" si="0"/>
        <v>78</v>
      </c>
    </row>
    <row r="48" spans="4:6" x14ac:dyDescent="0.25">
      <c r="D48" s="8" t="s">
        <v>57</v>
      </c>
      <c r="E48" s="1" t="s">
        <v>4</v>
      </c>
      <c r="F48" s="1">
        <f t="shared" si="0"/>
        <v>99</v>
      </c>
    </row>
  </sheetData>
  <mergeCells count="1">
    <mergeCell ref="A1:B1"/>
  </mergeCells>
  <conditionalFormatting sqref="D2:F48">
    <cfRule type="expression" dxfId="1" priority="3">
      <formula>$E2=$I$1</formula>
    </cfRule>
  </conditionalFormatting>
  <conditionalFormatting sqref="E1:E1048576">
    <cfRule type="expression" dxfId="0" priority="1" stopIfTrue="1">
      <formula>"""$E2=$I&amp;1"""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DE4D-2070-4031-B872-BD26DE79A6C8}">
  <dimension ref="A1:M16"/>
  <sheetViews>
    <sheetView zoomScale="85" workbookViewId="0">
      <selection activeCell="A3" sqref="A3"/>
    </sheetView>
  </sheetViews>
  <sheetFormatPr defaultRowHeight="15" x14ac:dyDescent="0.25"/>
  <cols>
    <col min="1" max="1" width="6.42578125" bestFit="1" customWidth="1"/>
    <col min="2" max="2" width="10.42578125" bestFit="1" customWidth="1"/>
    <col min="3" max="3" width="10.85546875" bestFit="1" customWidth="1"/>
    <col min="4" max="4" width="5.5703125" bestFit="1" customWidth="1"/>
    <col min="5" max="5" width="8.85546875" bestFit="1" customWidth="1"/>
    <col min="6" max="6" width="10.140625" bestFit="1" customWidth="1"/>
    <col min="7" max="7" width="9.42578125" bestFit="1" customWidth="1"/>
    <col min="8" max="8" width="9.5703125" bestFit="1" customWidth="1"/>
    <col min="13" max="13" width="92.28515625" customWidth="1"/>
  </cols>
  <sheetData>
    <row r="1" spans="1:13" ht="15.75" x14ac:dyDescent="0.25">
      <c r="A1" s="35" t="s">
        <v>61</v>
      </c>
      <c r="B1" s="35"/>
      <c r="C1" s="35"/>
      <c r="D1" s="35"/>
      <c r="E1" s="35"/>
      <c r="F1" s="35"/>
      <c r="G1" s="35"/>
      <c r="H1" s="35"/>
      <c r="I1" s="35"/>
      <c r="M1" s="12" t="s">
        <v>101</v>
      </c>
    </row>
    <row r="2" spans="1:13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M2" s="12"/>
    </row>
    <row r="3" spans="1:13" x14ac:dyDescent="0.25">
      <c r="A3">
        <f>INDEX(A9:A16,3,0)</f>
        <v>1056</v>
      </c>
      <c r="B3" t="str">
        <f>VLOOKUP(A3,A9:I16,2,0)</f>
        <v>GONZALES</v>
      </c>
      <c r="C3" t="str">
        <f>VLOOKUP(A3,A9:I16,3,0)</f>
        <v>JOE</v>
      </c>
      <c r="D3" t="str">
        <f>VLOOKUP(A3,A9:I16,4,0)</f>
        <v>AT</v>
      </c>
      <c r="E3" t="str">
        <f>VLOOKUP(A3,A9:I16,5,0)</f>
        <v>joeg</v>
      </c>
      <c r="F3">
        <f>VLOOKUP(A3,A9:I16,6,0)</f>
        <v>121</v>
      </c>
      <c r="G3" t="str">
        <f>VLOOKUP(A3,A9:I16,7,0)</f>
        <v>building 2</v>
      </c>
      <c r="H3">
        <f>VLOOKUP(A3,A9:I16,8,0)</f>
        <v>33898</v>
      </c>
      <c r="I3">
        <f>VLOOKUP(A3,A9:I16,9,0)</f>
        <v>12.25</v>
      </c>
      <c r="M3" s="12"/>
    </row>
    <row r="4" spans="1:13" ht="25.5" customHeight="1" x14ac:dyDescent="0.25">
      <c r="M4" s="13" t="s">
        <v>102</v>
      </c>
    </row>
    <row r="6" spans="1:13" ht="15.75" x14ac:dyDescent="0.25">
      <c r="A6" s="35" t="s">
        <v>71</v>
      </c>
      <c r="B6" s="35"/>
      <c r="C6" s="35"/>
      <c r="D6" s="35"/>
      <c r="E6" s="35"/>
      <c r="F6" s="35"/>
      <c r="G6" s="35"/>
      <c r="H6" s="35"/>
      <c r="I6" s="35"/>
    </row>
    <row r="9" spans="1:13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</row>
    <row r="10" spans="1:13" x14ac:dyDescent="0.25">
      <c r="A10">
        <v>1054</v>
      </c>
      <c r="B10" t="s">
        <v>72</v>
      </c>
      <c r="C10" t="s">
        <v>73</v>
      </c>
      <c r="D10" t="s">
        <v>74</v>
      </c>
      <c r="E10" t="s">
        <v>75</v>
      </c>
      <c r="F10">
        <v>148</v>
      </c>
      <c r="G10" t="s">
        <v>76</v>
      </c>
      <c r="H10" s="9">
        <v>38092</v>
      </c>
      <c r="I10" s="10">
        <v>11.25</v>
      </c>
    </row>
    <row r="11" spans="1:13" x14ac:dyDescent="0.25">
      <c r="A11">
        <v>1056</v>
      </c>
      <c r="B11" t="s">
        <v>77</v>
      </c>
      <c r="C11" t="s">
        <v>78</v>
      </c>
      <c r="D11" t="s">
        <v>74</v>
      </c>
      <c r="E11" t="s">
        <v>79</v>
      </c>
      <c r="F11">
        <v>121</v>
      </c>
      <c r="G11" t="s">
        <v>80</v>
      </c>
      <c r="H11" s="9">
        <v>33898</v>
      </c>
      <c r="I11" s="10">
        <v>12.25</v>
      </c>
    </row>
    <row r="12" spans="1:13" x14ac:dyDescent="0.25">
      <c r="A12">
        <v>1067</v>
      </c>
      <c r="B12" t="s">
        <v>81</v>
      </c>
      <c r="C12" t="s">
        <v>82</v>
      </c>
      <c r="D12" t="s">
        <v>83</v>
      </c>
      <c r="E12" t="s">
        <v>84</v>
      </c>
      <c r="F12">
        <v>123</v>
      </c>
      <c r="G12" t="s">
        <v>85</v>
      </c>
      <c r="H12" s="9">
        <v>36788</v>
      </c>
      <c r="I12" s="10">
        <v>14.55</v>
      </c>
    </row>
    <row r="13" spans="1:13" x14ac:dyDescent="0.25">
      <c r="A13">
        <v>1075</v>
      </c>
      <c r="B13" t="s">
        <v>86</v>
      </c>
      <c r="C13" t="s">
        <v>87</v>
      </c>
      <c r="D13" t="s">
        <v>88</v>
      </c>
      <c r="E13" t="s">
        <v>89</v>
      </c>
      <c r="F13">
        <v>126</v>
      </c>
      <c r="G13" t="s">
        <v>76</v>
      </c>
      <c r="H13" s="9">
        <v>38571</v>
      </c>
      <c r="I13" s="10">
        <v>11.25</v>
      </c>
    </row>
    <row r="14" spans="1:13" x14ac:dyDescent="0.25">
      <c r="A14">
        <v>1078</v>
      </c>
      <c r="B14" t="s">
        <v>90</v>
      </c>
      <c r="C14" t="s">
        <v>91</v>
      </c>
      <c r="D14" t="s">
        <v>92</v>
      </c>
      <c r="E14" t="s">
        <v>93</v>
      </c>
      <c r="F14">
        <v>101</v>
      </c>
      <c r="G14" t="s">
        <v>80</v>
      </c>
      <c r="H14" s="9">
        <v>37834</v>
      </c>
      <c r="I14" s="10">
        <v>10.199999999999999</v>
      </c>
    </row>
    <row r="15" spans="1:13" x14ac:dyDescent="0.25">
      <c r="A15">
        <v>1152</v>
      </c>
      <c r="B15" t="s">
        <v>94</v>
      </c>
      <c r="C15" t="s">
        <v>95</v>
      </c>
      <c r="D15" t="s">
        <v>96</v>
      </c>
      <c r="E15" t="s">
        <v>97</v>
      </c>
      <c r="F15">
        <v>122</v>
      </c>
      <c r="G15" t="s">
        <v>85</v>
      </c>
      <c r="H15" s="9">
        <v>33329</v>
      </c>
      <c r="I15" s="10">
        <v>13.25</v>
      </c>
    </row>
    <row r="16" spans="1:13" x14ac:dyDescent="0.25">
      <c r="A16">
        <v>1154</v>
      </c>
      <c r="B16" t="s">
        <v>98</v>
      </c>
      <c r="C16" t="s">
        <v>99</v>
      </c>
      <c r="D16" t="s">
        <v>96</v>
      </c>
      <c r="E16" t="s">
        <v>100</v>
      </c>
      <c r="F16">
        <v>121</v>
      </c>
      <c r="G16" t="s">
        <v>80</v>
      </c>
      <c r="H16" s="9">
        <v>38719</v>
      </c>
      <c r="I16" s="10">
        <v>13.55</v>
      </c>
    </row>
  </sheetData>
  <mergeCells count="2">
    <mergeCell ref="A1:I1"/>
    <mergeCell ref="A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BE66-7AED-43F7-8585-C075E8FDDFC7}">
  <dimension ref="A1:AA20"/>
  <sheetViews>
    <sheetView tabSelected="1" topLeftCell="D2" workbookViewId="0">
      <selection activeCell="J4" sqref="J4"/>
    </sheetView>
  </sheetViews>
  <sheetFormatPr defaultRowHeight="15" x14ac:dyDescent="0.25"/>
  <cols>
    <col min="1" max="1" width="24.28515625" bestFit="1" customWidth="1"/>
    <col min="2" max="2" width="18.85546875" bestFit="1" customWidth="1"/>
    <col min="3" max="3" width="11.140625" bestFit="1" customWidth="1"/>
    <col min="4" max="4" width="10.5703125" bestFit="1" customWidth="1"/>
    <col min="5" max="5" width="9.140625" bestFit="1" customWidth="1"/>
    <col min="7" max="7" width="3" customWidth="1"/>
    <col min="8" max="8" width="27.28515625" customWidth="1"/>
    <col min="10" max="10" width="13.28515625" customWidth="1"/>
  </cols>
  <sheetData>
    <row r="1" spans="1:27" ht="23.25" x14ac:dyDescent="0.35">
      <c r="A1" s="14" t="s">
        <v>103</v>
      </c>
      <c r="B1" s="15" t="s">
        <v>104</v>
      </c>
      <c r="C1" s="15" t="s">
        <v>105</v>
      </c>
      <c r="D1" s="15" t="s">
        <v>106</v>
      </c>
      <c r="E1" s="15" t="s">
        <v>107</v>
      </c>
      <c r="I1" s="12" t="s">
        <v>132</v>
      </c>
      <c r="J1" s="12"/>
      <c r="K1" s="12"/>
      <c r="L1" s="12"/>
      <c r="M1" s="12"/>
      <c r="N1" s="12"/>
      <c r="O1" s="12"/>
    </row>
    <row r="2" spans="1:27" ht="23.25" x14ac:dyDescent="0.35">
      <c r="A2" s="16" t="s">
        <v>108</v>
      </c>
      <c r="B2" s="17">
        <v>0.89</v>
      </c>
      <c r="C2" s="17">
        <v>0.84</v>
      </c>
      <c r="D2" s="17">
        <v>0.88</v>
      </c>
      <c r="E2" s="17">
        <v>0.91</v>
      </c>
    </row>
    <row r="3" spans="1:27" ht="23.25" x14ac:dyDescent="0.35">
      <c r="A3" s="16" t="s">
        <v>109</v>
      </c>
      <c r="B3" s="17">
        <v>0.79</v>
      </c>
      <c r="C3" s="17">
        <v>0.85</v>
      </c>
      <c r="D3" s="17">
        <v>0.89</v>
      </c>
      <c r="E3" s="17">
        <v>0.93</v>
      </c>
      <c r="I3" s="22" t="s">
        <v>127</v>
      </c>
      <c r="J3" s="25" t="s">
        <v>116</v>
      </c>
      <c r="K3" s="25"/>
      <c r="L3" s="25"/>
      <c r="M3" s="25"/>
      <c r="N3" s="26"/>
    </row>
    <row r="4" spans="1:27" ht="23.25" x14ac:dyDescent="0.35">
      <c r="A4" s="16" t="s">
        <v>110</v>
      </c>
      <c r="B4" s="17">
        <v>0.85</v>
      </c>
      <c r="C4" s="17">
        <v>0.9</v>
      </c>
      <c r="D4" s="17">
        <v>0.94</v>
      </c>
      <c r="E4" s="17">
        <v>0.89</v>
      </c>
      <c r="I4" s="23" t="s">
        <v>128</v>
      </c>
      <c r="J4" s="36">
        <f>HLOOKUP(J3,H9:AA13,2)</f>
        <v>0.93</v>
      </c>
      <c r="K4" s="18"/>
      <c r="L4" s="18"/>
      <c r="M4" s="18"/>
      <c r="N4" s="19"/>
    </row>
    <row r="5" spans="1:27" ht="23.25" x14ac:dyDescent="0.35">
      <c r="A5" s="16" t="s">
        <v>111</v>
      </c>
      <c r="B5" s="17">
        <v>0.92</v>
      </c>
      <c r="C5" s="17">
        <v>0.89</v>
      </c>
      <c r="D5" s="17">
        <v>0.88</v>
      </c>
      <c r="E5" s="17">
        <v>0.87</v>
      </c>
      <c r="I5" s="23" t="s">
        <v>129</v>
      </c>
      <c r="J5" s="36">
        <f>HLOOKUP(J3,H9:AA13,3)</f>
        <v>0.84</v>
      </c>
      <c r="K5" s="18"/>
      <c r="L5" s="18"/>
      <c r="M5" s="18"/>
      <c r="N5" s="19"/>
    </row>
    <row r="6" spans="1:27" ht="23.25" x14ac:dyDescent="0.35">
      <c r="A6" s="16" t="s">
        <v>112</v>
      </c>
      <c r="B6" s="17">
        <v>0.84</v>
      </c>
      <c r="C6" s="17">
        <v>0.87</v>
      </c>
      <c r="D6" s="17">
        <v>0.87</v>
      </c>
      <c r="E6" s="17">
        <v>0.85</v>
      </c>
      <c r="I6" s="23" t="s">
        <v>130</v>
      </c>
      <c r="J6" s="36">
        <f>HLOOKUP(J3,H9:AA13,4)</f>
        <v>0.93</v>
      </c>
      <c r="K6" s="18"/>
      <c r="L6" s="18"/>
      <c r="M6" s="18"/>
      <c r="N6" s="19"/>
    </row>
    <row r="7" spans="1:27" ht="23.25" x14ac:dyDescent="0.35">
      <c r="A7" s="16" t="s">
        <v>113</v>
      </c>
      <c r="B7" s="17">
        <v>0.9</v>
      </c>
      <c r="C7" s="17">
        <v>0.9</v>
      </c>
      <c r="D7" s="17">
        <v>0.94</v>
      </c>
      <c r="E7" s="17">
        <v>0.89</v>
      </c>
      <c r="I7" s="24" t="s">
        <v>131</v>
      </c>
      <c r="J7" s="37">
        <f>HLOOKUP(J3,H9:AA13,5)</f>
        <v>0.89</v>
      </c>
      <c r="K7" s="20"/>
      <c r="L7" s="20"/>
      <c r="M7" s="20"/>
      <c r="N7" s="21"/>
    </row>
    <row r="8" spans="1:27" ht="23.25" x14ac:dyDescent="0.35">
      <c r="A8" s="16" t="s">
        <v>114</v>
      </c>
      <c r="B8" s="17">
        <v>0.89</v>
      </c>
      <c r="C8" s="17">
        <v>0.9</v>
      </c>
      <c r="D8" s="17">
        <v>0.94</v>
      </c>
      <c r="E8" s="17">
        <v>0.89</v>
      </c>
    </row>
    <row r="9" spans="1:27" ht="23.25" x14ac:dyDescent="0.35">
      <c r="A9" s="16" t="s">
        <v>115</v>
      </c>
      <c r="B9" s="17">
        <v>0.87</v>
      </c>
      <c r="C9" s="17">
        <v>0.9</v>
      </c>
      <c r="D9" s="17">
        <v>0.94</v>
      </c>
      <c r="E9" s="17">
        <v>0.89</v>
      </c>
      <c r="H9" s="14" t="s">
        <v>103</v>
      </c>
      <c r="I9" s="16" t="s">
        <v>108</v>
      </c>
      <c r="J9" s="16" t="s">
        <v>109</v>
      </c>
      <c r="K9" s="16" t="s">
        <v>110</v>
      </c>
      <c r="L9" s="16" t="s">
        <v>111</v>
      </c>
      <c r="M9" s="16" t="s">
        <v>112</v>
      </c>
      <c r="N9" s="16" t="s">
        <v>113</v>
      </c>
      <c r="O9" s="16" t="s">
        <v>114</v>
      </c>
      <c r="P9" s="16" t="s">
        <v>115</v>
      </c>
      <c r="Q9" s="16" t="s">
        <v>116</v>
      </c>
      <c r="R9" s="16" t="s">
        <v>117</v>
      </c>
      <c r="S9" s="16" t="s">
        <v>118</v>
      </c>
      <c r="T9" s="16" t="s">
        <v>119</v>
      </c>
      <c r="U9" s="16" t="s">
        <v>120</v>
      </c>
      <c r="V9" s="16" t="s">
        <v>121</v>
      </c>
      <c r="W9" s="16" t="s">
        <v>122</v>
      </c>
      <c r="X9" s="16" t="s">
        <v>123</v>
      </c>
      <c r="Y9" s="16" t="s">
        <v>124</v>
      </c>
      <c r="Z9" s="16" t="s">
        <v>125</v>
      </c>
      <c r="AA9" s="16" t="s">
        <v>126</v>
      </c>
    </row>
    <row r="10" spans="1:27" ht="23.25" x14ac:dyDescent="0.35">
      <c r="A10" s="16" t="s">
        <v>116</v>
      </c>
      <c r="B10" s="17">
        <v>0.93</v>
      </c>
      <c r="C10" s="17">
        <v>0.84</v>
      </c>
      <c r="D10" s="17">
        <v>0.93</v>
      </c>
      <c r="E10" s="17">
        <v>0.89</v>
      </c>
      <c r="H10" s="15" t="s">
        <v>104</v>
      </c>
      <c r="I10" s="17">
        <v>0.89</v>
      </c>
      <c r="J10" s="17">
        <v>0.79</v>
      </c>
      <c r="K10" s="17">
        <v>0.85</v>
      </c>
      <c r="L10" s="17">
        <v>0.92</v>
      </c>
      <c r="M10" s="17">
        <v>0.84</v>
      </c>
      <c r="N10" s="17">
        <v>0.9</v>
      </c>
      <c r="O10" s="17">
        <v>0.89</v>
      </c>
      <c r="P10" s="17">
        <v>0.87</v>
      </c>
      <c r="Q10" s="17">
        <v>0.93</v>
      </c>
      <c r="R10" s="17">
        <v>0.89</v>
      </c>
      <c r="S10" s="17">
        <v>0.85</v>
      </c>
      <c r="T10" s="17">
        <v>0.89</v>
      </c>
      <c r="U10" s="17">
        <v>0.89</v>
      </c>
      <c r="V10" s="17">
        <v>0.89</v>
      </c>
      <c r="W10" s="17">
        <v>0.89</v>
      </c>
      <c r="X10" s="17">
        <v>0.94</v>
      </c>
      <c r="Y10" s="17">
        <v>0.89</v>
      </c>
      <c r="Z10" s="17">
        <v>0.89</v>
      </c>
      <c r="AA10" s="17">
        <v>0.94</v>
      </c>
    </row>
    <row r="11" spans="1:27" ht="23.25" x14ac:dyDescent="0.35">
      <c r="A11" s="16" t="s">
        <v>117</v>
      </c>
      <c r="B11" s="17">
        <v>0.89</v>
      </c>
      <c r="C11" s="17">
        <v>0.9</v>
      </c>
      <c r="D11" s="17">
        <v>0.89</v>
      </c>
      <c r="E11" s="17">
        <v>0.94</v>
      </c>
      <c r="H11" s="15" t="s">
        <v>105</v>
      </c>
      <c r="I11" s="17">
        <v>0.84</v>
      </c>
      <c r="J11" s="17">
        <v>0.85</v>
      </c>
      <c r="K11" s="17">
        <v>0.9</v>
      </c>
      <c r="L11" s="17">
        <v>0.89</v>
      </c>
      <c r="M11" s="17">
        <v>0.87</v>
      </c>
      <c r="N11" s="17">
        <v>0.9</v>
      </c>
      <c r="O11" s="17">
        <v>0.9</v>
      </c>
      <c r="P11" s="17">
        <v>0.9</v>
      </c>
      <c r="Q11" s="17">
        <v>0.84</v>
      </c>
      <c r="R11" s="17">
        <v>0.9</v>
      </c>
      <c r="S11" s="17">
        <v>0.88</v>
      </c>
      <c r="T11" s="17">
        <v>0.89</v>
      </c>
      <c r="U11" s="17">
        <v>0.94</v>
      </c>
      <c r="V11" s="17">
        <v>0.88</v>
      </c>
      <c r="W11" s="17">
        <v>0.87</v>
      </c>
      <c r="X11" s="17">
        <v>0.94</v>
      </c>
      <c r="Y11" s="17">
        <v>0.89</v>
      </c>
      <c r="Z11" s="17">
        <v>0.92</v>
      </c>
      <c r="AA11" s="17">
        <v>0.84</v>
      </c>
    </row>
    <row r="12" spans="1:27" ht="23.25" x14ac:dyDescent="0.35">
      <c r="A12" s="16" t="s">
        <v>118</v>
      </c>
      <c r="B12" s="17">
        <v>0.85</v>
      </c>
      <c r="C12" s="17">
        <v>0.88</v>
      </c>
      <c r="D12" s="17">
        <v>0.92</v>
      </c>
      <c r="E12" s="17">
        <v>0.89</v>
      </c>
      <c r="H12" s="15" t="s">
        <v>106</v>
      </c>
      <c r="I12" s="17">
        <v>0.88</v>
      </c>
      <c r="J12" s="17">
        <v>0.89</v>
      </c>
      <c r="K12" s="17">
        <v>0.94</v>
      </c>
      <c r="L12" s="17">
        <v>0.88</v>
      </c>
      <c r="M12" s="17">
        <v>0.87</v>
      </c>
      <c r="N12" s="17">
        <v>0.94</v>
      </c>
      <c r="O12" s="17">
        <v>0.94</v>
      </c>
      <c r="P12" s="17">
        <v>0.94</v>
      </c>
      <c r="Q12" s="17">
        <v>0.93</v>
      </c>
      <c r="R12" s="17">
        <v>0.89</v>
      </c>
      <c r="S12" s="17">
        <v>0.92</v>
      </c>
      <c r="T12" s="17">
        <v>0.84</v>
      </c>
      <c r="U12" s="17">
        <v>0.9</v>
      </c>
      <c r="V12" s="17">
        <v>0.89</v>
      </c>
      <c r="W12" s="17">
        <v>0.87</v>
      </c>
      <c r="X12" s="17">
        <v>0.93</v>
      </c>
      <c r="Y12" s="17">
        <v>0.9</v>
      </c>
      <c r="Z12" s="17">
        <v>0.88</v>
      </c>
      <c r="AA12" s="17">
        <v>0.89</v>
      </c>
    </row>
    <row r="13" spans="1:27" ht="23.25" x14ac:dyDescent="0.35">
      <c r="A13" s="16" t="s">
        <v>119</v>
      </c>
      <c r="B13" s="17">
        <v>0.89</v>
      </c>
      <c r="C13" s="17">
        <v>0.89</v>
      </c>
      <c r="D13" s="17">
        <v>0.84</v>
      </c>
      <c r="E13" s="17">
        <v>0.87</v>
      </c>
      <c r="H13" s="15" t="s">
        <v>107</v>
      </c>
      <c r="I13" s="17">
        <v>0.91</v>
      </c>
      <c r="J13" s="17">
        <v>0.93</v>
      </c>
      <c r="K13" s="17">
        <v>0.89</v>
      </c>
      <c r="L13" s="17">
        <v>0.87</v>
      </c>
      <c r="M13" s="17">
        <v>0.85</v>
      </c>
      <c r="N13" s="17">
        <v>0.89</v>
      </c>
      <c r="O13" s="17">
        <v>0.89</v>
      </c>
      <c r="P13" s="17">
        <v>0.89</v>
      </c>
      <c r="Q13" s="17">
        <v>0.89</v>
      </c>
      <c r="R13" s="17">
        <v>0.94</v>
      </c>
      <c r="S13" s="17">
        <v>0.89</v>
      </c>
      <c r="T13" s="17">
        <v>0.87</v>
      </c>
      <c r="U13" s="17">
        <v>0.93</v>
      </c>
      <c r="V13" s="17">
        <v>0.89</v>
      </c>
      <c r="W13" s="17">
        <v>0.85</v>
      </c>
      <c r="X13" s="17">
        <v>0.89</v>
      </c>
      <c r="Y13" s="17">
        <v>0.94</v>
      </c>
      <c r="Z13" s="17">
        <v>0.89</v>
      </c>
      <c r="AA13" s="17">
        <v>0.89</v>
      </c>
    </row>
    <row r="14" spans="1:27" ht="23.25" x14ac:dyDescent="0.35">
      <c r="A14" s="16" t="s">
        <v>120</v>
      </c>
      <c r="B14" s="17">
        <v>0.89</v>
      </c>
      <c r="C14" s="17">
        <v>0.94</v>
      </c>
      <c r="D14" s="17">
        <v>0.9</v>
      </c>
      <c r="E14" s="17">
        <v>0.93</v>
      </c>
    </row>
    <row r="15" spans="1:27" ht="23.25" x14ac:dyDescent="0.35">
      <c r="A15" s="16" t="s">
        <v>121</v>
      </c>
      <c r="B15" s="17">
        <v>0.89</v>
      </c>
      <c r="C15" s="17">
        <v>0.88</v>
      </c>
      <c r="D15" s="17">
        <v>0.89</v>
      </c>
      <c r="E15" s="17">
        <v>0.89</v>
      </c>
    </row>
    <row r="16" spans="1:27" ht="23.25" x14ac:dyDescent="0.35">
      <c r="A16" s="16" t="s">
        <v>122</v>
      </c>
      <c r="B16" s="17">
        <v>0.89</v>
      </c>
      <c r="C16" s="17">
        <v>0.87</v>
      </c>
      <c r="D16" s="17">
        <v>0.87</v>
      </c>
      <c r="E16" s="17">
        <v>0.85</v>
      </c>
    </row>
    <row r="17" spans="1:5" ht="23.25" x14ac:dyDescent="0.35">
      <c r="A17" s="16" t="s">
        <v>123</v>
      </c>
      <c r="B17" s="17">
        <v>0.94</v>
      </c>
      <c r="C17" s="17">
        <v>0.94</v>
      </c>
      <c r="D17" s="17">
        <v>0.93</v>
      </c>
      <c r="E17" s="17">
        <v>0.89</v>
      </c>
    </row>
    <row r="18" spans="1:5" ht="23.25" x14ac:dyDescent="0.35">
      <c r="A18" s="16" t="s">
        <v>124</v>
      </c>
      <c r="B18" s="17">
        <v>0.89</v>
      </c>
      <c r="C18" s="17">
        <v>0.89</v>
      </c>
      <c r="D18" s="17">
        <v>0.9</v>
      </c>
      <c r="E18" s="17">
        <v>0.94</v>
      </c>
    </row>
    <row r="19" spans="1:5" ht="23.25" x14ac:dyDescent="0.35">
      <c r="A19" s="16" t="s">
        <v>125</v>
      </c>
      <c r="B19" s="17">
        <v>0.89</v>
      </c>
      <c r="C19" s="17">
        <v>0.92</v>
      </c>
      <c r="D19" s="17">
        <v>0.88</v>
      </c>
      <c r="E19" s="17">
        <v>0.89</v>
      </c>
    </row>
    <row r="20" spans="1:5" ht="23.25" x14ac:dyDescent="0.35">
      <c r="A20" s="16" t="s">
        <v>126</v>
      </c>
      <c r="B20" s="17">
        <v>0.94</v>
      </c>
      <c r="C20" s="17">
        <v>0.84</v>
      </c>
      <c r="D20" s="17">
        <v>0.89</v>
      </c>
      <c r="E20" s="17">
        <v>0.89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4EFC-53A0-43ED-B2B6-EC1638BA782D}">
  <dimension ref="A1:H19"/>
  <sheetViews>
    <sheetView workbookViewId="0">
      <selection activeCell="C2" sqref="C2"/>
    </sheetView>
  </sheetViews>
  <sheetFormatPr defaultColWidth="19.85546875" defaultRowHeight="15" x14ac:dyDescent="0.25"/>
  <sheetData>
    <row r="1" spans="1:8" ht="23.25" x14ac:dyDescent="0.35">
      <c r="A1" s="27" t="s">
        <v>134</v>
      </c>
      <c r="B1" s="27" t="s">
        <v>135</v>
      </c>
      <c r="C1" s="27" t="s">
        <v>136</v>
      </c>
      <c r="D1" s="27" t="s">
        <v>137</v>
      </c>
      <c r="E1" s="27" t="s">
        <v>138</v>
      </c>
      <c r="G1" s="27" t="s">
        <v>135</v>
      </c>
      <c r="H1" s="27" t="s">
        <v>136</v>
      </c>
    </row>
    <row r="2" spans="1:8" ht="18.75" x14ac:dyDescent="0.3">
      <c r="A2" s="28" t="s">
        <v>139</v>
      </c>
      <c r="B2" s="29">
        <v>171900</v>
      </c>
      <c r="C2" s="30"/>
      <c r="D2" s="30"/>
      <c r="E2" s="31"/>
      <c r="G2" s="29">
        <v>50000</v>
      </c>
      <c r="H2" s="32">
        <v>0.03</v>
      </c>
    </row>
    <row r="3" spans="1:8" ht="18.75" x14ac:dyDescent="0.3">
      <c r="A3" s="28" t="s">
        <v>140</v>
      </c>
      <c r="B3" s="29">
        <v>93500</v>
      </c>
      <c r="C3" s="30"/>
      <c r="D3" s="30"/>
      <c r="E3" s="31"/>
      <c r="G3" s="29">
        <v>75000</v>
      </c>
      <c r="H3" s="32">
        <v>0.04</v>
      </c>
    </row>
    <row r="4" spans="1:8" ht="18.75" x14ac:dyDescent="0.3">
      <c r="A4" s="28" t="s">
        <v>141</v>
      </c>
      <c r="B4" s="29">
        <v>151200</v>
      </c>
      <c r="C4" s="30"/>
      <c r="D4" s="30"/>
      <c r="E4" s="31"/>
      <c r="G4" s="29">
        <v>100000</v>
      </c>
      <c r="H4" s="32">
        <v>0.05</v>
      </c>
    </row>
    <row r="5" spans="1:8" ht="18.75" x14ac:dyDescent="0.3">
      <c r="A5" s="28" t="s">
        <v>142</v>
      </c>
      <c r="B5" s="29">
        <v>119850</v>
      </c>
      <c r="C5" s="30"/>
      <c r="D5" s="30"/>
      <c r="E5" s="31"/>
      <c r="G5" s="29">
        <v>125000</v>
      </c>
      <c r="H5" s="32">
        <v>0.06</v>
      </c>
    </row>
    <row r="6" spans="1:8" ht="18.75" x14ac:dyDescent="0.3">
      <c r="A6" s="28" t="s">
        <v>143</v>
      </c>
      <c r="B6" s="29">
        <v>93500</v>
      </c>
      <c r="C6" s="30"/>
      <c r="D6" s="30"/>
      <c r="E6" s="31"/>
      <c r="G6" s="29">
        <v>175000</v>
      </c>
      <c r="H6" s="32">
        <v>0.08</v>
      </c>
    </row>
    <row r="7" spans="1:8" ht="18.75" x14ac:dyDescent="0.3">
      <c r="A7" s="28" t="s">
        <v>144</v>
      </c>
      <c r="B7" s="29">
        <v>124500</v>
      </c>
      <c r="C7" s="30"/>
      <c r="D7" s="30"/>
      <c r="E7" s="31"/>
      <c r="G7" s="29">
        <v>200000</v>
      </c>
      <c r="H7" s="32">
        <v>0.09</v>
      </c>
    </row>
    <row r="8" spans="1:8" ht="18.75" x14ac:dyDescent="0.3">
      <c r="A8" s="28" t="s">
        <v>145</v>
      </c>
      <c r="B8" s="29">
        <v>131100</v>
      </c>
      <c r="C8" s="30"/>
      <c r="D8" s="30"/>
      <c r="E8" s="31"/>
    </row>
    <row r="9" spans="1:8" ht="18.75" x14ac:dyDescent="0.3">
      <c r="A9" s="28" t="s">
        <v>146</v>
      </c>
      <c r="B9" s="29">
        <v>55300</v>
      </c>
      <c r="C9" s="30"/>
      <c r="D9" s="30"/>
      <c r="E9" s="31"/>
    </row>
    <row r="10" spans="1:8" ht="18.75" x14ac:dyDescent="0.3">
      <c r="A10" s="28" t="s">
        <v>147</v>
      </c>
      <c r="B10" s="29">
        <v>201500</v>
      </c>
      <c r="C10" s="30"/>
      <c r="D10" s="30"/>
      <c r="E10" s="31"/>
    </row>
    <row r="11" spans="1:8" ht="18.75" x14ac:dyDescent="0.3">
      <c r="A11" s="28" t="s">
        <v>148</v>
      </c>
      <c r="B11" s="29">
        <v>100000</v>
      </c>
      <c r="C11" s="30"/>
      <c r="D11" s="30"/>
      <c r="E11" s="31"/>
    </row>
    <row r="12" spans="1:8" ht="18.75" x14ac:dyDescent="0.3">
      <c r="A12" s="28" t="s">
        <v>149</v>
      </c>
      <c r="B12" s="29">
        <v>50000</v>
      </c>
      <c r="C12" s="30"/>
      <c r="D12" s="30"/>
      <c r="E12" s="31"/>
      <c r="G12" s="12" t="s">
        <v>133</v>
      </c>
    </row>
    <row r="13" spans="1:8" ht="18.75" x14ac:dyDescent="0.3">
      <c r="A13" s="28" t="s">
        <v>150</v>
      </c>
      <c r="B13" s="29">
        <v>120000</v>
      </c>
      <c r="C13" s="30"/>
      <c r="D13" s="30"/>
      <c r="E13" s="31"/>
    </row>
    <row r="14" spans="1:8" ht="18.75" x14ac:dyDescent="0.3">
      <c r="A14" s="28" t="s">
        <v>151</v>
      </c>
      <c r="B14" s="29">
        <v>130000</v>
      </c>
      <c r="C14" s="30"/>
      <c r="D14" s="30"/>
      <c r="E14" s="31"/>
    </row>
    <row r="15" spans="1:8" ht="18.75" x14ac:dyDescent="0.3">
      <c r="A15" s="28" t="s">
        <v>152</v>
      </c>
      <c r="B15" s="29">
        <v>125000</v>
      </c>
      <c r="C15" s="30"/>
      <c r="D15" s="30"/>
      <c r="E15" s="31"/>
    </row>
    <row r="16" spans="1:8" ht="18.75" x14ac:dyDescent="0.3">
      <c r="A16" s="28" t="s">
        <v>153</v>
      </c>
      <c r="B16" s="29">
        <v>180000</v>
      </c>
      <c r="C16" s="30"/>
      <c r="D16" s="30"/>
      <c r="E16" s="31"/>
    </row>
    <row r="17" spans="1:5" ht="18.75" x14ac:dyDescent="0.3">
      <c r="A17" s="28" t="s">
        <v>154</v>
      </c>
      <c r="B17" s="29">
        <v>80000</v>
      </c>
      <c r="C17" s="30"/>
      <c r="D17" s="30"/>
      <c r="E17" s="31"/>
    </row>
    <row r="18" spans="1:5" ht="18.75" x14ac:dyDescent="0.3">
      <c r="A18" s="28" t="s">
        <v>155</v>
      </c>
      <c r="B18" s="29">
        <v>201000</v>
      </c>
      <c r="C18" s="30"/>
      <c r="D18" s="30"/>
      <c r="E18" s="31"/>
    </row>
    <row r="19" spans="1:5" ht="18.75" x14ac:dyDescent="0.3">
      <c r="A19" s="28" t="s">
        <v>156</v>
      </c>
      <c r="B19" s="29">
        <v>128000</v>
      </c>
      <c r="C19" s="30"/>
      <c r="D19" s="30"/>
      <c r="E19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2024-07-26T08:29:58Z</dcterms:created>
  <dcterms:modified xsi:type="dcterms:W3CDTF">2024-07-31T16:48:05Z</dcterms:modified>
</cp:coreProperties>
</file>